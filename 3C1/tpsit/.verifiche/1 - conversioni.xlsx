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itis\Desktop\"/>
    </mc:Choice>
  </mc:AlternateContent>
  <xr:revisionPtr revIDLastSave="0" documentId="13_ncr:1_{9E6B24FE-841D-4970-9376-9A503A645536}" xr6:coauthVersionLast="36" xr6:coauthVersionMax="36" xr10:uidLastSave="{00000000-0000-0000-0000-000000000000}"/>
  <bookViews>
    <workbookView xWindow="0" yWindow="0" windowWidth="14508" windowHeight="2676" activeTab="2" xr2:uid="{40371EC0-4683-42CF-8001-DD6E36FEDFFE}"/>
  </bookViews>
  <sheets>
    <sheet name="1" sheetId="1" r:id="rId1"/>
    <sheet name="2" sheetId="2" r:id="rId2"/>
    <sheet name="3" sheetId="3" r:id="rId3"/>
    <sheet name="4" sheetId="6" r:id="rId4"/>
    <sheet name="5" sheetId="4" r:id="rId5"/>
    <sheet name="6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3" l="1"/>
  <c r="J19" i="6"/>
  <c r="K23" i="6"/>
  <c r="K22" i="6"/>
  <c r="J22" i="6"/>
  <c r="J23" i="6" s="1"/>
  <c r="I22" i="6"/>
  <c r="I23" i="6" s="1"/>
  <c r="K19" i="6"/>
  <c r="I19" i="6"/>
  <c r="L15" i="6"/>
  <c r="H15" i="6"/>
  <c r="I15" i="6"/>
  <c r="J15" i="6"/>
  <c r="H14" i="6"/>
  <c r="I14" i="6"/>
  <c r="J14" i="6"/>
  <c r="K14" i="6"/>
  <c r="L11" i="6"/>
  <c r="H11" i="6"/>
  <c r="I11" i="6"/>
  <c r="J11" i="6"/>
  <c r="K15" i="6"/>
  <c r="I7" i="6"/>
  <c r="J7" i="6"/>
  <c r="K7" i="6"/>
  <c r="I23" i="3"/>
  <c r="J23" i="3"/>
  <c r="K23" i="3"/>
  <c r="K15" i="3"/>
  <c r="I7" i="3"/>
  <c r="J7" i="3"/>
  <c r="K7" i="3"/>
  <c r="L7" i="3" s="1"/>
  <c r="I6" i="6"/>
  <c r="J6" i="6"/>
  <c r="K6" i="6"/>
  <c r="G3" i="6"/>
  <c r="I3" i="6" s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2" i="6"/>
  <c r="J3" i="6"/>
  <c r="K3" i="6"/>
  <c r="M6" i="2"/>
  <c r="N6" i="2"/>
  <c r="L6" i="2"/>
  <c r="H3" i="2"/>
  <c r="H4" i="2"/>
  <c r="H5" i="2"/>
  <c r="H6" i="2"/>
  <c r="H7" i="2"/>
  <c r="H8" i="2"/>
  <c r="H9" i="2"/>
  <c r="H2" i="2"/>
  <c r="M9" i="2"/>
  <c r="M10" i="2" s="1"/>
  <c r="N9" i="2"/>
  <c r="N10" i="2" s="1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L5" i="2"/>
  <c r="M5" i="2"/>
  <c r="N5" i="2"/>
  <c r="L3" i="2"/>
  <c r="M3" i="2"/>
  <c r="N3" i="2"/>
  <c r="O3" i="2"/>
  <c r="P3" i="2"/>
  <c r="Q3" i="2"/>
  <c r="R3" i="2"/>
  <c r="S3" i="2"/>
  <c r="A20" i="4"/>
  <c r="B20" i="4"/>
  <c r="I20" i="4"/>
  <c r="H17" i="4"/>
  <c r="G17" i="4" s="1"/>
  <c r="G20" i="4" s="1"/>
  <c r="H13" i="4"/>
  <c r="G10" i="4"/>
  <c r="F10" i="4" s="1"/>
  <c r="Q6" i="4"/>
  <c r="P6" i="4"/>
  <c r="O6" i="4"/>
  <c r="N6" i="4"/>
  <c r="M6" i="4"/>
  <c r="L6" i="4"/>
  <c r="K6" i="4"/>
  <c r="J6" i="4"/>
  <c r="O5" i="4"/>
  <c r="N5" i="4"/>
  <c r="M5" i="4"/>
  <c r="L5" i="4"/>
  <c r="K5" i="4"/>
  <c r="J5" i="4"/>
  <c r="Q4" i="4"/>
  <c r="O4" i="4"/>
  <c r="N4" i="4"/>
  <c r="M4" i="4"/>
  <c r="L4" i="4"/>
  <c r="K4" i="4"/>
  <c r="J4" i="4"/>
  <c r="G3" i="4"/>
  <c r="G6" i="4" s="1"/>
  <c r="H6" i="4"/>
  <c r="K22" i="3"/>
  <c r="J22" i="3"/>
  <c r="I22" i="3"/>
  <c r="K19" i="3"/>
  <c r="J19" i="3"/>
  <c r="I19" i="3"/>
  <c r="K14" i="3"/>
  <c r="J14" i="3"/>
  <c r="K11" i="3"/>
  <c r="J11" i="3"/>
  <c r="I6" i="3"/>
  <c r="K6" i="3"/>
  <c r="J6" i="3"/>
  <c r="L3" i="3"/>
  <c r="J3" i="3"/>
  <c r="K3" i="3"/>
  <c r="I3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2" i="3"/>
  <c r="B25" i="1"/>
  <c r="B26" i="1" s="1"/>
  <c r="C24" i="1"/>
  <c r="B13" i="1"/>
  <c r="C13" i="1" s="1"/>
  <c r="C12" i="1"/>
  <c r="K3" i="1"/>
  <c r="K4" i="1" s="1"/>
  <c r="C3" i="1"/>
  <c r="L3" i="1" s="1"/>
  <c r="L4" i="1" s="1"/>
  <c r="B4" i="1"/>
  <c r="C4" i="1" s="1"/>
  <c r="J3" i="1" s="1"/>
  <c r="J4" i="1" s="1"/>
  <c r="B5" i="1"/>
  <c r="B6" i="1" s="1"/>
  <c r="B3" i="1"/>
  <c r="C2" i="1"/>
  <c r="L19" i="6" l="1"/>
  <c r="L23" i="6"/>
  <c r="L7" i="6"/>
  <c r="K11" i="6"/>
  <c r="L3" i="6"/>
  <c r="O10" i="2"/>
  <c r="O6" i="2"/>
  <c r="T3" i="2"/>
  <c r="H20" i="4"/>
  <c r="F17" i="4"/>
  <c r="E10" i="4"/>
  <c r="F13" i="4"/>
  <c r="G13" i="4"/>
  <c r="Q5" i="4"/>
  <c r="Q3" i="4" s="1"/>
  <c r="F3" i="4"/>
  <c r="L19" i="3"/>
  <c r="L23" i="3"/>
  <c r="L15" i="3"/>
  <c r="L11" i="3"/>
  <c r="B7" i="1"/>
  <c r="C6" i="1"/>
  <c r="H3" i="1" s="1"/>
  <c r="H4" i="1" s="1"/>
  <c r="C5" i="1"/>
  <c r="I3" i="1" s="1"/>
  <c r="I4" i="1" s="1"/>
  <c r="C26" i="1"/>
  <c r="L25" i="1" s="1"/>
  <c r="L26" i="1" s="1"/>
  <c r="B27" i="1"/>
  <c r="C25" i="1"/>
  <c r="N13" i="1"/>
  <c r="N14" i="1" s="1"/>
  <c r="M13" i="1"/>
  <c r="M14" i="1" s="1"/>
  <c r="B14" i="1"/>
  <c r="E17" i="4" l="1"/>
  <c r="F20" i="4"/>
  <c r="D10" i="4"/>
  <c r="E13" i="4"/>
  <c r="E3" i="4"/>
  <c r="F6" i="4"/>
  <c r="B8" i="1"/>
  <c r="C7" i="1"/>
  <c r="G3" i="1" s="1"/>
  <c r="G4" i="1" s="1"/>
  <c r="N25" i="1"/>
  <c r="N26" i="1" s="1"/>
  <c r="M25" i="1"/>
  <c r="M26" i="1" s="1"/>
  <c r="B28" i="1"/>
  <c r="C27" i="1"/>
  <c r="K25" i="1" s="1"/>
  <c r="K26" i="1" s="1"/>
  <c r="B15" i="1"/>
  <c r="C14" i="1"/>
  <c r="L13" i="1" s="1"/>
  <c r="L14" i="1" s="1"/>
  <c r="D17" i="4" l="1"/>
  <c r="E20" i="4"/>
  <c r="D13" i="4"/>
  <c r="C10" i="4"/>
  <c r="E6" i="4"/>
  <c r="D3" i="4"/>
  <c r="C8" i="1"/>
  <c r="F3" i="1" s="1"/>
  <c r="F4" i="1" s="1"/>
  <c r="B9" i="1"/>
  <c r="B29" i="1"/>
  <c r="C28" i="1"/>
  <c r="J25" i="1" s="1"/>
  <c r="J26" i="1" s="1"/>
  <c r="B16" i="1"/>
  <c r="C15" i="1"/>
  <c r="K13" i="1" s="1"/>
  <c r="K14" i="1" s="1"/>
  <c r="C17" i="4" l="1"/>
  <c r="D20" i="4"/>
  <c r="B10" i="4"/>
  <c r="C13" i="4"/>
  <c r="D6" i="4"/>
  <c r="C3" i="4"/>
  <c r="C9" i="1"/>
  <c r="E3" i="1" s="1"/>
  <c r="E4" i="1" s="1"/>
  <c r="M4" i="1" s="1"/>
  <c r="B10" i="1"/>
  <c r="C29" i="1"/>
  <c r="I25" i="1" s="1"/>
  <c r="I26" i="1" s="1"/>
  <c r="B30" i="1"/>
  <c r="B17" i="1"/>
  <c r="C16" i="1"/>
  <c r="J13" i="1" s="1"/>
  <c r="J14" i="1" s="1"/>
  <c r="B17" i="4" l="1"/>
  <c r="A17" i="4" s="1"/>
  <c r="C20" i="4"/>
  <c r="B13" i="4"/>
  <c r="A10" i="4"/>
  <c r="C6" i="4"/>
  <c r="B3" i="4"/>
  <c r="B6" i="4" s="1"/>
  <c r="B31" i="1"/>
  <c r="C30" i="1"/>
  <c r="H25" i="1" s="1"/>
  <c r="H26" i="1" s="1"/>
  <c r="B18" i="1"/>
  <c r="C17" i="1"/>
  <c r="I13" i="1" s="1"/>
  <c r="I14" i="1" s="1"/>
  <c r="B32" i="1" l="1"/>
  <c r="C31" i="1"/>
  <c r="G25" i="1" s="1"/>
  <c r="G26" i="1" s="1"/>
  <c r="B19" i="1"/>
  <c r="C18" i="1"/>
  <c r="H13" i="1" s="1"/>
  <c r="H14" i="1" s="1"/>
  <c r="B33" i="1" l="1"/>
  <c r="C32" i="1"/>
  <c r="F25" i="1" s="1"/>
  <c r="F26" i="1" s="1"/>
  <c r="B20" i="1"/>
  <c r="C19" i="1"/>
  <c r="G13" i="1" s="1"/>
  <c r="G14" i="1" s="1"/>
  <c r="C20" i="1" l="1"/>
  <c r="F13" i="1" s="1"/>
  <c r="F14" i="1" s="1"/>
  <c r="B21" i="1"/>
  <c r="C33" i="1"/>
  <c r="E25" i="1" s="1"/>
  <c r="E26" i="1" s="1"/>
  <c r="O26" i="1" s="1"/>
  <c r="B34" i="1"/>
  <c r="B22" i="1" l="1"/>
  <c r="C21" i="1"/>
  <c r="E13" i="1" s="1"/>
  <c r="E14" i="1" s="1"/>
  <c r="O14" i="1" s="1"/>
</calcChain>
</file>

<file path=xl/sharedStrings.xml><?xml version="1.0" encoding="utf-8"?>
<sst xmlns="http://schemas.openxmlformats.org/spreadsheetml/2006/main" count="30" uniqueCount="10">
  <si>
    <t>A</t>
  </si>
  <si>
    <t>B</t>
  </si>
  <si>
    <t>C</t>
  </si>
  <si>
    <t>D</t>
  </si>
  <si>
    <t>E</t>
  </si>
  <si>
    <t>F</t>
  </si>
  <si>
    <t>+</t>
  </si>
  <si>
    <t>=</t>
  </si>
  <si>
    <t>(8)</t>
  </si>
  <si>
    <t>(16)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</si>
</sst>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/>
    </xf>
    <xf numFmtId="0" fontId="0" fillId="0" borderId="0" xfId="0" quotePrefix="1"/>
    <xf numFmtId="0" fontId="0" fillId="0" borderId="0" xfId="0" applyFill="1" applyBorder="1"/>
    <xf numFmtId="0" fontId="0" fillId="2" borderId="0" xfId="0" applyFill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129540</xdr:colOff>
      <xdr:row>3</xdr:row>
      <xdr:rowOff>106680</xdr:rowOff>
    </xdr:from>
    <xdr:ext cx="5821680" cy="1188146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95A57C7B-40FB-46EA-8F28-353522159CA8}"/>
            </a:ext>
          </a:extLst>
        </xdr:cNvPr>
        <xdr:cNvSpPr txBox="1"/>
      </xdr:nvSpPr>
      <xdr:spPr>
        <a:xfrm>
          <a:off x="1348740" y="655320"/>
          <a:ext cx="5821680" cy="11881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400"/>
            <a:t>1) si</a:t>
          </a:r>
          <a:r>
            <a:rPr lang="it-IT" sz="1400" baseline="0"/>
            <a:t> deve moltiplicare il bit per il valore della base (16) in potenza del numero della posizione del bit.</a:t>
          </a:r>
        </a:p>
        <a:p>
          <a:r>
            <a:rPr lang="it-IT" sz="1400"/>
            <a:t>2) perchè</a:t>
          </a:r>
          <a:r>
            <a:rPr lang="it-IT" sz="1400" baseline="0"/>
            <a:t> è piu facile da leggere per gli umani ed anche molto più corto da rappresentare</a:t>
          </a:r>
        </a:p>
        <a:p>
          <a:endParaRPr lang="it-IT" sz="1400"/>
        </a:p>
      </xdr:txBody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04590-111A-41E7-8731-372DA1BDF1D7}">
  <dimension ref="B2:O34"/>
  <sheetViews>
    <sheetView zoomScaleNormal="100" workbookViewId="0">
      <selection activeCell="B1" sqref="B1"/>
    </sheetView>
  </sheetViews>
  <sheetFormatPr defaultRowHeight="14.4" x14ac:dyDescent="0.3"/>
  <cols>
    <col min="5" max="5" width="9.44140625" bestFit="1" customWidth="1"/>
  </cols>
  <sheetData>
    <row r="2" spans="2:15" x14ac:dyDescent="0.3">
      <c r="B2" s="1">
        <v>247</v>
      </c>
      <c r="C2">
        <f>MOD(B2,2)</f>
        <v>1</v>
      </c>
      <c r="E2">
        <v>7</v>
      </c>
      <c r="F2">
        <v>6</v>
      </c>
      <c r="G2">
        <v>5</v>
      </c>
      <c r="H2">
        <v>4</v>
      </c>
      <c r="I2">
        <v>3</v>
      </c>
      <c r="J2">
        <v>2</v>
      </c>
      <c r="K2">
        <v>1</v>
      </c>
      <c r="L2">
        <v>0</v>
      </c>
    </row>
    <row r="3" spans="2:15" x14ac:dyDescent="0.3">
      <c r="B3">
        <f>QUOTIENT(B2,2)</f>
        <v>123</v>
      </c>
      <c r="C3">
        <f t="shared" ref="C3:C9" si="0">MOD(B3,2)</f>
        <v>1</v>
      </c>
      <c r="E3">
        <f>C9</f>
        <v>1</v>
      </c>
      <c r="F3">
        <f>C8</f>
        <v>1</v>
      </c>
      <c r="G3">
        <f>C7</f>
        <v>1</v>
      </c>
      <c r="H3">
        <f>C6</f>
        <v>1</v>
      </c>
      <c r="I3">
        <f>C5</f>
        <v>0</v>
      </c>
      <c r="J3">
        <f>C4</f>
        <v>1</v>
      </c>
      <c r="K3">
        <f>C3</f>
        <v>1</v>
      </c>
      <c r="L3">
        <f>C3</f>
        <v>1</v>
      </c>
    </row>
    <row r="4" spans="2:15" x14ac:dyDescent="0.3">
      <c r="B4">
        <f t="shared" ref="B4:B8" si="1">QUOTIENT(B3,2)</f>
        <v>61</v>
      </c>
      <c r="C4">
        <f t="shared" si="0"/>
        <v>1</v>
      </c>
      <c r="E4">
        <f t="shared" ref="E4:K4" si="2">E3*2^E2</f>
        <v>128</v>
      </c>
      <c r="F4">
        <f t="shared" si="2"/>
        <v>64</v>
      </c>
      <c r="G4">
        <f t="shared" si="2"/>
        <v>32</v>
      </c>
      <c r="H4">
        <f t="shared" si="2"/>
        <v>16</v>
      </c>
      <c r="I4">
        <f t="shared" si="2"/>
        <v>0</v>
      </c>
      <c r="J4">
        <f t="shared" si="2"/>
        <v>4</v>
      </c>
      <c r="K4">
        <f t="shared" si="2"/>
        <v>2</v>
      </c>
      <c r="L4">
        <f>L3*2^L2</f>
        <v>1</v>
      </c>
      <c r="M4" s="1">
        <f>SUM(E4:L4)</f>
        <v>247</v>
      </c>
    </row>
    <row r="5" spans="2:15" x14ac:dyDescent="0.3">
      <c r="B5">
        <f t="shared" si="1"/>
        <v>30</v>
      </c>
      <c r="C5">
        <f t="shared" si="0"/>
        <v>0</v>
      </c>
    </row>
    <row r="6" spans="2:15" x14ac:dyDescent="0.3">
      <c r="B6">
        <f t="shared" si="1"/>
        <v>15</v>
      </c>
      <c r="C6">
        <f t="shared" si="0"/>
        <v>1</v>
      </c>
    </row>
    <row r="7" spans="2:15" x14ac:dyDescent="0.3">
      <c r="B7">
        <f t="shared" si="1"/>
        <v>7</v>
      </c>
      <c r="C7">
        <f t="shared" si="0"/>
        <v>1</v>
      </c>
    </row>
    <row r="8" spans="2:15" x14ac:dyDescent="0.3">
      <c r="B8">
        <f t="shared" si="1"/>
        <v>3</v>
      </c>
      <c r="C8">
        <f t="shared" si="0"/>
        <v>1</v>
      </c>
    </row>
    <row r="9" spans="2:15" x14ac:dyDescent="0.3">
      <c r="B9">
        <f>QUOTIENT(B8,2)</f>
        <v>1</v>
      </c>
      <c r="C9">
        <f t="shared" si="0"/>
        <v>1</v>
      </c>
    </row>
    <row r="10" spans="2:15" x14ac:dyDescent="0.3">
      <c r="B10">
        <f>QUOTIENT(B9,2)</f>
        <v>0</v>
      </c>
    </row>
    <row r="12" spans="2:15" x14ac:dyDescent="0.3">
      <c r="B12" s="1">
        <v>512</v>
      </c>
      <c r="C12">
        <f>MOD(B12,2)</f>
        <v>0</v>
      </c>
      <c r="E12">
        <v>9</v>
      </c>
      <c r="F12">
        <v>8</v>
      </c>
      <c r="G12">
        <v>7</v>
      </c>
      <c r="H12">
        <v>6</v>
      </c>
      <c r="I12">
        <v>5</v>
      </c>
      <c r="J12">
        <v>4</v>
      </c>
      <c r="K12">
        <v>3</v>
      </c>
      <c r="L12">
        <v>2</v>
      </c>
      <c r="M12">
        <v>1</v>
      </c>
      <c r="N12">
        <v>0</v>
      </c>
    </row>
    <row r="13" spans="2:15" x14ac:dyDescent="0.3">
      <c r="B13">
        <f>QUOTIENT(B12,2)</f>
        <v>256</v>
      </c>
      <c r="C13">
        <f t="shared" ref="C13:C21" si="3">MOD(B13,2)</f>
        <v>0</v>
      </c>
      <c r="E13">
        <f>C21</f>
        <v>1</v>
      </c>
      <c r="F13">
        <f>C20</f>
        <v>0</v>
      </c>
      <c r="G13">
        <f>C19</f>
        <v>0</v>
      </c>
      <c r="H13">
        <f>C18</f>
        <v>0</v>
      </c>
      <c r="I13">
        <f>C17</f>
        <v>0</v>
      </c>
      <c r="J13">
        <f>C16</f>
        <v>0</v>
      </c>
      <c r="K13">
        <f>C15</f>
        <v>0</v>
      </c>
      <c r="L13">
        <f>C14</f>
        <v>0</v>
      </c>
      <c r="M13">
        <f>C13</f>
        <v>0</v>
      </c>
      <c r="N13">
        <f>C13</f>
        <v>0</v>
      </c>
    </row>
    <row r="14" spans="2:15" x14ac:dyDescent="0.3">
      <c r="B14">
        <f t="shared" ref="B14:B18" si="4">QUOTIENT(B13,2)</f>
        <v>128</v>
      </c>
      <c r="C14">
        <f t="shared" si="3"/>
        <v>0</v>
      </c>
      <c r="E14">
        <f t="shared" ref="E14" si="5">E13*2^E12</f>
        <v>512</v>
      </c>
      <c r="F14">
        <f t="shared" ref="F14" si="6">F13*2^F12</f>
        <v>0</v>
      </c>
      <c r="G14">
        <f t="shared" ref="G14" si="7">G13*2^G12</f>
        <v>0</v>
      </c>
      <c r="H14">
        <f t="shared" ref="H14" si="8">H13*2^H12</f>
        <v>0</v>
      </c>
      <c r="I14">
        <f t="shared" ref="I14" si="9">I13*2^I12</f>
        <v>0</v>
      </c>
      <c r="J14">
        <f t="shared" ref="J14" si="10">J13*2^J12</f>
        <v>0</v>
      </c>
      <c r="K14">
        <f t="shared" ref="K14" si="11">K13*2^K12</f>
        <v>0</v>
      </c>
      <c r="L14">
        <f t="shared" ref="L14" si="12">L13*2^L12</f>
        <v>0</v>
      </c>
      <c r="M14">
        <f t="shared" ref="M14" si="13">M13*2^M12</f>
        <v>0</v>
      </c>
      <c r="N14">
        <f>N13*2^N12</f>
        <v>0</v>
      </c>
      <c r="O14" s="1">
        <f>SUM(E14:N14)</f>
        <v>512</v>
      </c>
    </row>
    <row r="15" spans="2:15" x14ac:dyDescent="0.3">
      <c r="B15">
        <f t="shared" si="4"/>
        <v>64</v>
      </c>
      <c r="C15">
        <f t="shared" si="3"/>
        <v>0</v>
      </c>
    </row>
    <row r="16" spans="2:15" x14ac:dyDescent="0.3">
      <c r="B16">
        <f t="shared" si="4"/>
        <v>32</v>
      </c>
      <c r="C16">
        <f t="shared" si="3"/>
        <v>0</v>
      </c>
    </row>
    <row r="17" spans="2:15" x14ac:dyDescent="0.3">
      <c r="B17">
        <f t="shared" si="4"/>
        <v>16</v>
      </c>
      <c r="C17">
        <f t="shared" si="3"/>
        <v>0</v>
      </c>
    </row>
    <row r="18" spans="2:15" x14ac:dyDescent="0.3">
      <c r="B18">
        <f t="shared" si="4"/>
        <v>8</v>
      </c>
      <c r="C18">
        <f t="shared" si="3"/>
        <v>0</v>
      </c>
    </row>
    <row r="19" spans="2:15" x14ac:dyDescent="0.3">
      <c r="B19">
        <f>QUOTIENT(B18,2)</f>
        <v>4</v>
      </c>
      <c r="C19">
        <f t="shared" si="3"/>
        <v>0</v>
      </c>
    </row>
    <row r="20" spans="2:15" x14ac:dyDescent="0.3">
      <c r="B20">
        <f>QUOTIENT(B19,2)</f>
        <v>2</v>
      </c>
      <c r="C20">
        <f t="shared" si="3"/>
        <v>0</v>
      </c>
    </row>
    <row r="21" spans="2:15" x14ac:dyDescent="0.3">
      <c r="B21">
        <f t="shared" ref="B21:B22" si="14">QUOTIENT(B20,2)</f>
        <v>1</v>
      </c>
      <c r="C21">
        <f t="shared" si="3"/>
        <v>1</v>
      </c>
    </row>
    <row r="22" spans="2:15" x14ac:dyDescent="0.3">
      <c r="B22">
        <f t="shared" si="14"/>
        <v>0</v>
      </c>
    </row>
    <row r="24" spans="2:15" x14ac:dyDescent="0.3">
      <c r="B24" s="1">
        <v>1023</v>
      </c>
      <c r="C24">
        <f>MOD(B24,2)</f>
        <v>1</v>
      </c>
      <c r="E24">
        <v>9</v>
      </c>
      <c r="F24">
        <v>8</v>
      </c>
      <c r="G24">
        <v>7</v>
      </c>
      <c r="H24">
        <v>6</v>
      </c>
      <c r="I24">
        <v>5</v>
      </c>
      <c r="J24">
        <v>4</v>
      </c>
      <c r="K24">
        <v>3</v>
      </c>
      <c r="L24">
        <v>2</v>
      </c>
      <c r="M24">
        <v>1</v>
      </c>
      <c r="N24">
        <v>0</v>
      </c>
    </row>
    <row r="25" spans="2:15" x14ac:dyDescent="0.3">
      <c r="B25">
        <f>QUOTIENT(B24,2)</f>
        <v>511</v>
      </c>
      <c r="C25">
        <f t="shared" ref="C25:C33" si="15">MOD(B25,2)</f>
        <v>1</v>
      </c>
      <c r="E25">
        <f>C33</f>
        <v>1</v>
      </c>
      <c r="F25">
        <f>C32</f>
        <v>1</v>
      </c>
      <c r="G25">
        <f>C31</f>
        <v>1</v>
      </c>
      <c r="H25">
        <f>C30</f>
        <v>1</v>
      </c>
      <c r="I25">
        <f>C29</f>
        <v>1</v>
      </c>
      <c r="J25">
        <f>C28</f>
        <v>1</v>
      </c>
      <c r="K25">
        <f>C27</f>
        <v>1</v>
      </c>
      <c r="L25">
        <f>C26</f>
        <v>1</v>
      </c>
      <c r="M25">
        <f>C25</f>
        <v>1</v>
      </c>
      <c r="N25">
        <f>C25</f>
        <v>1</v>
      </c>
    </row>
    <row r="26" spans="2:15" x14ac:dyDescent="0.3">
      <c r="B26">
        <f t="shared" ref="B26:B30" si="16">QUOTIENT(B25,2)</f>
        <v>255</v>
      </c>
      <c r="C26">
        <f t="shared" si="15"/>
        <v>1</v>
      </c>
      <c r="E26">
        <f t="shared" ref="E26" si="17">E25*2^E24</f>
        <v>512</v>
      </c>
      <c r="F26">
        <f t="shared" ref="F26" si="18">F25*2^F24</f>
        <v>256</v>
      </c>
      <c r="G26">
        <f t="shared" ref="G26" si="19">G25*2^G24</f>
        <v>128</v>
      </c>
      <c r="H26">
        <f t="shared" ref="H26" si="20">H25*2^H24</f>
        <v>64</v>
      </c>
      <c r="I26">
        <f t="shared" ref="I26" si="21">I25*2^I24</f>
        <v>32</v>
      </c>
      <c r="J26">
        <f t="shared" ref="J26" si="22">J25*2^J24</f>
        <v>16</v>
      </c>
      <c r="K26">
        <f t="shared" ref="K26" si="23">K25*2^K24</f>
        <v>8</v>
      </c>
      <c r="L26">
        <f t="shared" ref="L26" si="24">L25*2^L24</f>
        <v>4</v>
      </c>
      <c r="M26">
        <f t="shared" ref="M26" si="25">M25*2^M24</f>
        <v>2</v>
      </c>
      <c r="N26">
        <f>N25*2^N24</f>
        <v>1</v>
      </c>
      <c r="O26" s="1">
        <f>SUM(E26:N26)</f>
        <v>1023</v>
      </c>
    </row>
    <row r="27" spans="2:15" x14ac:dyDescent="0.3">
      <c r="B27">
        <f t="shared" si="16"/>
        <v>127</v>
      </c>
      <c r="C27">
        <f t="shared" si="15"/>
        <v>1</v>
      </c>
    </row>
    <row r="28" spans="2:15" x14ac:dyDescent="0.3">
      <c r="B28">
        <f t="shared" si="16"/>
        <v>63</v>
      </c>
      <c r="C28">
        <f t="shared" si="15"/>
        <v>1</v>
      </c>
    </row>
    <row r="29" spans="2:15" x14ac:dyDescent="0.3">
      <c r="B29">
        <f t="shared" si="16"/>
        <v>31</v>
      </c>
      <c r="C29">
        <f t="shared" si="15"/>
        <v>1</v>
      </c>
    </row>
    <row r="30" spans="2:15" x14ac:dyDescent="0.3">
      <c r="B30">
        <f t="shared" si="16"/>
        <v>15</v>
      </c>
      <c r="C30">
        <f t="shared" si="15"/>
        <v>1</v>
      </c>
    </row>
    <row r="31" spans="2:15" x14ac:dyDescent="0.3">
      <c r="B31">
        <f>QUOTIENT(B30,2)</f>
        <v>7</v>
      </c>
      <c r="C31">
        <f t="shared" si="15"/>
        <v>1</v>
      </c>
    </row>
    <row r="32" spans="2:15" x14ac:dyDescent="0.3">
      <c r="B32">
        <f>QUOTIENT(B31,2)</f>
        <v>3</v>
      </c>
      <c r="C32">
        <f t="shared" si="15"/>
        <v>1</v>
      </c>
    </row>
    <row r="33" spans="2:3" x14ac:dyDescent="0.3">
      <c r="B33">
        <f t="shared" ref="B33:B34" si="26">QUOTIENT(B32,2)</f>
        <v>1</v>
      </c>
      <c r="C33">
        <f t="shared" si="15"/>
        <v>1</v>
      </c>
    </row>
    <row r="34" spans="2:3" x14ac:dyDescent="0.3">
      <c r="B34">
        <f t="shared" si="26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D9BF-5EC3-4930-84A3-3F6D3CB2BE4E}">
  <dimension ref="B1:T17"/>
  <sheetViews>
    <sheetView zoomScale="115" zoomScaleNormal="115" workbookViewId="0">
      <selection activeCell="O6" sqref="O6"/>
    </sheetView>
  </sheetViews>
  <sheetFormatPr defaultRowHeight="14.4" x14ac:dyDescent="0.3"/>
  <sheetData>
    <row r="1" spans="2:20" x14ac:dyDescent="0.3">
      <c r="L1">
        <v>7</v>
      </c>
      <c r="M1">
        <v>6</v>
      </c>
      <c r="N1">
        <v>5</v>
      </c>
      <c r="O1">
        <v>4</v>
      </c>
      <c r="P1">
        <v>3</v>
      </c>
      <c r="Q1">
        <v>2</v>
      </c>
      <c r="R1">
        <v>1</v>
      </c>
      <c r="S1">
        <v>0</v>
      </c>
    </row>
    <row r="2" spans="2:20" x14ac:dyDescent="0.3">
      <c r="B2" s="2">
        <v>0</v>
      </c>
      <c r="C2" s="3">
        <v>0</v>
      </c>
      <c r="D2" s="3">
        <v>0</v>
      </c>
      <c r="E2" s="4">
        <v>0</v>
      </c>
      <c r="F2" t="str">
        <f>_xlfn.CONCAT(B2:E2)</f>
        <v>0000</v>
      </c>
      <c r="G2">
        <v>0</v>
      </c>
      <c r="H2" t="str">
        <f>_xlfn.CONCAT(C2:E2)</f>
        <v>000</v>
      </c>
      <c r="I2">
        <v>0</v>
      </c>
      <c r="K2" s="13">
        <v>0</v>
      </c>
      <c r="L2" s="1">
        <v>1</v>
      </c>
      <c r="M2" s="1">
        <v>1</v>
      </c>
      <c r="N2" s="1">
        <v>0</v>
      </c>
      <c r="O2" s="1">
        <v>1</v>
      </c>
      <c r="P2" s="1">
        <v>0</v>
      </c>
      <c r="Q2" s="1">
        <v>1</v>
      </c>
      <c r="R2" s="1">
        <v>0</v>
      </c>
      <c r="S2" s="1">
        <v>1</v>
      </c>
    </row>
    <row r="3" spans="2:20" x14ac:dyDescent="0.3">
      <c r="B3" s="5">
        <v>0</v>
      </c>
      <c r="C3" s="6">
        <v>0</v>
      </c>
      <c r="D3" s="6">
        <v>0</v>
      </c>
      <c r="E3" s="7">
        <v>1</v>
      </c>
      <c r="F3" t="str">
        <f t="shared" ref="F3:F17" si="0">_xlfn.CONCAT(B3:E3)</f>
        <v>0001</v>
      </c>
      <c r="G3">
        <v>1</v>
      </c>
      <c r="H3" t="str">
        <f t="shared" ref="H3:H9" si="1">_xlfn.CONCAT(C3:E3)</f>
        <v>001</v>
      </c>
      <c r="I3">
        <v>1</v>
      </c>
      <c r="L3">
        <f>L2*2^L1</f>
        <v>128</v>
      </c>
      <c r="M3">
        <f>M2*2^M1</f>
        <v>64</v>
      </c>
      <c r="N3">
        <f>N2*2^N1</f>
        <v>0</v>
      </c>
      <c r="O3">
        <f>O2*2^O1</f>
        <v>16</v>
      </c>
      <c r="P3">
        <f>P2*2^P1</f>
        <v>0</v>
      </c>
      <c r="Q3">
        <f>Q2*2^Q1</f>
        <v>4</v>
      </c>
      <c r="R3">
        <f>R2*2^R1</f>
        <v>0</v>
      </c>
      <c r="S3">
        <f>S2*2^S1</f>
        <v>1</v>
      </c>
      <c r="T3" s="1">
        <f>SUM(L3:S3)</f>
        <v>213</v>
      </c>
    </row>
    <row r="4" spans="2:20" x14ac:dyDescent="0.3">
      <c r="B4" s="5">
        <v>0</v>
      </c>
      <c r="C4" s="6">
        <v>0</v>
      </c>
      <c r="D4" s="6">
        <v>1</v>
      </c>
      <c r="E4" s="7">
        <v>0</v>
      </c>
      <c r="F4" t="str">
        <f t="shared" si="0"/>
        <v>0010</v>
      </c>
      <c r="G4">
        <v>2</v>
      </c>
      <c r="H4" t="str">
        <f t="shared" si="1"/>
        <v>010</v>
      </c>
      <c r="I4">
        <v>2</v>
      </c>
    </row>
    <row r="5" spans="2:20" x14ac:dyDescent="0.3">
      <c r="B5" s="5">
        <v>0</v>
      </c>
      <c r="C5" s="6">
        <v>0</v>
      </c>
      <c r="D5" s="6">
        <v>1</v>
      </c>
      <c r="E5" s="7">
        <v>1</v>
      </c>
      <c r="F5" t="str">
        <f t="shared" si="0"/>
        <v>0011</v>
      </c>
      <c r="G5">
        <v>3</v>
      </c>
      <c r="H5" t="str">
        <f t="shared" si="1"/>
        <v>011</v>
      </c>
      <c r="I5">
        <v>3</v>
      </c>
      <c r="L5" t="str">
        <f>_xlfn.CONCAT(K2:M2)</f>
        <v>011</v>
      </c>
      <c r="M5" t="str">
        <f>_xlfn.CONCAT(N2:P2)</f>
        <v>010</v>
      </c>
      <c r="N5" t="str">
        <f>_xlfn.CONCAT(Q2:S2)</f>
        <v>101</v>
      </c>
    </row>
    <row r="6" spans="2:20" x14ac:dyDescent="0.3">
      <c r="B6" s="5">
        <v>0</v>
      </c>
      <c r="C6" s="6">
        <v>1</v>
      </c>
      <c r="D6" s="6">
        <v>0</v>
      </c>
      <c r="E6" s="7">
        <v>0</v>
      </c>
      <c r="F6" t="str">
        <f t="shared" si="0"/>
        <v>0100</v>
      </c>
      <c r="G6">
        <v>4</v>
      </c>
      <c r="H6" t="str">
        <f t="shared" si="1"/>
        <v>100</v>
      </c>
      <c r="I6">
        <v>4</v>
      </c>
      <c r="L6">
        <f>LOOKUP(L5,$H$2:$I$9)</f>
        <v>3</v>
      </c>
      <c r="M6">
        <f t="shared" ref="M6:N6" si="2">LOOKUP(M5,$H$2:$I$9)</f>
        <v>2</v>
      </c>
      <c r="N6">
        <f t="shared" si="2"/>
        <v>5</v>
      </c>
      <c r="O6" s="11" t="str">
        <f>_xlfn.CONCAT(L6:N6)</f>
        <v>325</v>
      </c>
      <c r="P6" s="12" t="s">
        <v>8</v>
      </c>
    </row>
    <row r="7" spans="2:20" x14ac:dyDescent="0.3">
      <c r="B7" s="5">
        <v>0</v>
      </c>
      <c r="C7" s="6">
        <v>1</v>
      </c>
      <c r="D7" s="6">
        <v>0</v>
      </c>
      <c r="E7" s="7">
        <v>1</v>
      </c>
      <c r="F7" t="str">
        <f t="shared" si="0"/>
        <v>0101</v>
      </c>
      <c r="G7">
        <v>5</v>
      </c>
      <c r="H7" t="str">
        <f t="shared" si="1"/>
        <v>101</v>
      </c>
      <c r="I7">
        <v>5</v>
      </c>
    </row>
    <row r="8" spans="2:20" x14ac:dyDescent="0.3">
      <c r="B8" s="5">
        <v>0</v>
      </c>
      <c r="C8" s="6">
        <v>1</v>
      </c>
      <c r="D8" s="6">
        <v>1</v>
      </c>
      <c r="E8" s="7">
        <v>0</v>
      </c>
      <c r="F8" t="str">
        <f t="shared" si="0"/>
        <v>0110</v>
      </c>
      <c r="G8">
        <v>6</v>
      </c>
      <c r="H8" t="str">
        <f t="shared" si="1"/>
        <v>110</v>
      </c>
      <c r="I8">
        <v>6</v>
      </c>
    </row>
    <row r="9" spans="2:20" x14ac:dyDescent="0.3">
      <c r="B9" s="5">
        <v>0</v>
      </c>
      <c r="C9" s="6">
        <v>1</v>
      </c>
      <c r="D9" s="6">
        <v>1</v>
      </c>
      <c r="E9" s="7">
        <v>1</v>
      </c>
      <c r="F9" t="str">
        <f t="shared" si="0"/>
        <v>0111</v>
      </c>
      <c r="G9">
        <v>7</v>
      </c>
      <c r="H9" t="str">
        <f t="shared" si="1"/>
        <v>111</v>
      </c>
      <c r="I9">
        <v>7</v>
      </c>
      <c r="M9" t="str">
        <f>_xlfn.CONCAT(L2:O2)</f>
        <v>1101</v>
      </c>
      <c r="N9" t="str">
        <f>_xlfn.CONCAT(P2:S2)</f>
        <v>0101</v>
      </c>
    </row>
    <row r="10" spans="2:20" x14ac:dyDescent="0.3">
      <c r="B10" s="5">
        <v>1</v>
      </c>
      <c r="C10" s="6">
        <v>0</v>
      </c>
      <c r="D10" s="6">
        <v>0</v>
      </c>
      <c r="E10" s="7">
        <v>0</v>
      </c>
      <c r="F10" t="str">
        <f t="shared" si="0"/>
        <v>1000</v>
      </c>
      <c r="G10">
        <v>8</v>
      </c>
      <c r="M10" t="str">
        <f>LOOKUP(M9,$F$2:$G$17)</f>
        <v>D</v>
      </c>
      <c r="N10">
        <f>LOOKUP(N9,$F$2:$G$17)</f>
        <v>5</v>
      </c>
      <c r="O10" s="11" t="str">
        <f>_xlfn.CONCAT(M10:N10)</f>
        <v>D5</v>
      </c>
      <c r="P10" s="12" t="s">
        <v>9</v>
      </c>
    </row>
    <row r="11" spans="2:20" x14ac:dyDescent="0.3">
      <c r="B11" s="5">
        <v>1</v>
      </c>
      <c r="C11" s="6">
        <v>0</v>
      </c>
      <c r="D11" s="6">
        <v>0</v>
      </c>
      <c r="E11" s="7">
        <v>1</v>
      </c>
      <c r="F11" t="str">
        <f t="shared" si="0"/>
        <v>1001</v>
      </c>
      <c r="G11">
        <v>9</v>
      </c>
    </row>
    <row r="12" spans="2:20" x14ac:dyDescent="0.3">
      <c r="B12" s="5">
        <v>1</v>
      </c>
      <c r="C12" s="6">
        <v>0</v>
      </c>
      <c r="D12" s="6">
        <v>1</v>
      </c>
      <c r="E12" s="7">
        <v>0</v>
      </c>
      <c r="F12" t="str">
        <f t="shared" si="0"/>
        <v>1010</v>
      </c>
      <c r="G12" s="11" t="s">
        <v>0</v>
      </c>
    </row>
    <row r="13" spans="2:20" x14ac:dyDescent="0.3">
      <c r="B13" s="5">
        <v>1</v>
      </c>
      <c r="C13" s="6">
        <v>0</v>
      </c>
      <c r="D13" s="6">
        <v>1</v>
      </c>
      <c r="E13" s="7">
        <v>1</v>
      </c>
      <c r="F13" t="str">
        <f t="shared" si="0"/>
        <v>1011</v>
      </c>
      <c r="G13" s="11" t="s">
        <v>1</v>
      </c>
    </row>
    <row r="14" spans="2:20" x14ac:dyDescent="0.3">
      <c r="B14" s="5">
        <v>1</v>
      </c>
      <c r="C14" s="6">
        <v>1</v>
      </c>
      <c r="D14" s="6">
        <v>0</v>
      </c>
      <c r="E14" s="7">
        <v>0</v>
      </c>
      <c r="F14" t="str">
        <f t="shared" si="0"/>
        <v>1100</v>
      </c>
      <c r="G14" s="11" t="s">
        <v>2</v>
      </c>
    </row>
    <row r="15" spans="2:20" x14ac:dyDescent="0.3">
      <c r="B15" s="5">
        <v>1</v>
      </c>
      <c r="C15" s="6">
        <v>1</v>
      </c>
      <c r="D15" s="6">
        <v>0</v>
      </c>
      <c r="E15" s="7">
        <v>1</v>
      </c>
      <c r="F15" t="str">
        <f t="shared" si="0"/>
        <v>1101</v>
      </c>
      <c r="G15" s="11" t="s">
        <v>3</v>
      </c>
    </row>
    <row r="16" spans="2:20" x14ac:dyDescent="0.3">
      <c r="B16" s="5">
        <v>1</v>
      </c>
      <c r="C16" s="6">
        <v>1</v>
      </c>
      <c r="D16" s="6">
        <v>1</v>
      </c>
      <c r="E16" s="7">
        <v>0</v>
      </c>
      <c r="F16" t="str">
        <f t="shared" si="0"/>
        <v>1110</v>
      </c>
      <c r="G16" s="11" t="s">
        <v>4</v>
      </c>
    </row>
    <row r="17" spans="2:7" x14ac:dyDescent="0.3">
      <c r="B17" s="8">
        <v>1</v>
      </c>
      <c r="C17" s="9">
        <v>1</v>
      </c>
      <c r="D17" s="9">
        <v>1</v>
      </c>
      <c r="E17" s="10">
        <v>1</v>
      </c>
      <c r="F17" t="str">
        <f t="shared" si="0"/>
        <v>1111</v>
      </c>
      <c r="G17" s="11" t="s">
        <v>5</v>
      </c>
    </row>
  </sheetData>
  <pageMargins left="0.7" right="0.7" top="0.75" bottom="0.75" header="0.3" footer="0.3"/>
  <ignoredErrors>
    <ignoredError sqref="L5:N5 H2:H9 M9:N9" formulaRange="1"/>
    <ignoredError sqref="P6:P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1C02-9534-4F65-8BA5-4FD2803C1611}">
  <dimension ref="B2:L23"/>
  <sheetViews>
    <sheetView tabSelected="1" workbookViewId="0">
      <selection activeCell="K7" sqref="K7"/>
    </sheetView>
  </sheetViews>
  <sheetFormatPr defaultRowHeight="14.4" x14ac:dyDescent="0.3"/>
  <cols>
    <col min="12" max="12" width="13.109375" bestFit="1" customWidth="1"/>
    <col min="13" max="13" width="8.5546875" customWidth="1"/>
  </cols>
  <sheetData>
    <row r="2" spans="2:12" x14ac:dyDescent="0.3">
      <c r="B2" s="2">
        <v>0</v>
      </c>
      <c r="C2" s="3">
        <v>0</v>
      </c>
      <c r="D2" s="3">
        <v>0</v>
      </c>
      <c r="E2" s="4">
        <v>0</v>
      </c>
      <c r="F2">
        <v>0</v>
      </c>
      <c r="G2" t="str">
        <f>_xlfn.CONCAT(B2:E2)</f>
        <v>0000</v>
      </c>
      <c r="I2" s="1">
        <v>1</v>
      </c>
      <c r="J2" s="14" t="s">
        <v>0</v>
      </c>
      <c r="K2" s="1">
        <v>3</v>
      </c>
    </row>
    <row r="3" spans="2:12" x14ac:dyDescent="0.3">
      <c r="B3" s="5">
        <v>0</v>
      </c>
      <c r="C3" s="6">
        <v>0</v>
      </c>
      <c r="D3" s="6">
        <v>0</v>
      </c>
      <c r="E3" s="7">
        <v>1</v>
      </c>
      <c r="F3">
        <v>1</v>
      </c>
      <c r="G3" t="str">
        <f t="shared" ref="G3:G17" si="0">_xlfn.CONCAT(B3:E3)</f>
        <v>0001</v>
      </c>
      <c r="I3" t="str">
        <f>LOOKUP(I2,$F$2:$G$17)</f>
        <v>0001</v>
      </c>
      <c r="J3" t="str">
        <f t="shared" ref="J3:K3" si="1">LOOKUP(J2,$F$2:$G$17)</f>
        <v>1010</v>
      </c>
      <c r="K3" t="str">
        <f t="shared" si="1"/>
        <v>0011</v>
      </c>
      <c r="L3" s="1" t="str">
        <f>_xlfn.CONCAT(I3:K3)</f>
        <v>000110100011</v>
      </c>
    </row>
    <row r="4" spans="2:12" x14ac:dyDescent="0.3">
      <c r="B4" s="5">
        <v>0</v>
      </c>
      <c r="C4" s="6">
        <v>0</v>
      </c>
      <c r="D4" s="6">
        <v>1</v>
      </c>
      <c r="E4" s="7">
        <v>0</v>
      </c>
      <c r="F4">
        <v>2</v>
      </c>
      <c r="G4" t="str">
        <f t="shared" si="0"/>
        <v>0010</v>
      </c>
    </row>
    <row r="5" spans="2:12" x14ac:dyDescent="0.3">
      <c r="B5" s="5">
        <v>0</v>
      </c>
      <c r="C5" s="6">
        <v>0</v>
      </c>
      <c r="D5" s="6">
        <v>1</v>
      </c>
      <c r="E5" s="7">
        <v>1</v>
      </c>
      <c r="F5">
        <v>3</v>
      </c>
      <c r="G5" t="str">
        <f t="shared" si="0"/>
        <v>0011</v>
      </c>
      <c r="I5">
        <v>2</v>
      </c>
      <c r="J5">
        <v>1</v>
      </c>
      <c r="K5">
        <v>0</v>
      </c>
    </row>
    <row r="6" spans="2:12" x14ac:dyDescent="0.3">
      <c r="B6" s="5">
        <v>0</v>
      </c>
      <c r="C6" s="6">
        <v>1</v>
      </c>
      <c r="D6" s="6">
        <v>0</v>
      </c>
      <c r="E6" s="7">
        <v>0</v>
      </c>
      <c r="F6">
        <v>4</v>
      </c>
      <c r="G6" t="str">
        <f t="shared" si="0"/>
        <v>0100</v>
      </c>
      <c r="I6">
        <f>IF(I2="A",10,IF(I2="B",11,IF(I2="C",12,IF(I2="D",13,IF(I2="E",14,IF(I2="F",15,I2))))))</f>
        <v>1</v>
      </c>
      <c r="J6">
        <f>IF(J2="A",10,IF(J2="B",11,IF(J2="C",12,IF(J2="D",13,IF(J2="E",14,IF(J2="F",15,J2))))))</f>
        <v>10</v>
      </c>
      <c r="K6">
        <f>IF(K2="A",10,IF(K2="B",11,IF(K2="C",12,IF(K2="D",13,IF(K2="E",14,IF(K2="F",15,K2))))))</f>
        <v>3</v>
      </c>
    </row>
    <row r="7" spans="2:12" x14ac:dyDescent="0.3">
      <c r="B7" s="5">
        <v>0</v>
      </c>
      <c r="C7" s="6">
        <v>1</v>
      </c>
      <c r="D7" s="6">
        <v>0</v>
      </c>
      <c r="E7" s="7">
        <v>1</v>
      </c>
      <c r="F7">
        <v>5</v>
      </c>
      <c r="G7" t="str">
        <f t="shared" si="0"/>
        <v>0101</v>
      </c>
      <c r="I7">
        <f t="shared" ref="I7:J7" si="2">I6*16^I5</f>
        <v>256</v>
      </c>
      <c r="J7">
        <f t="shared" si="2"/>
        <v>160</v>
      </c>
      <c r="K7">
        <f>K6*16^K5</f>
        <v>3</v>
      </c>
      <c r="L7" s="1">
        <f>SUM(I7:K7)</f>
        <v>419</v>
      </c>
    </row>
    <row r="8" spans="2:12" x14ac:dyDescent="0.3">
      <c r="B8" s="5">
        <v>0</v>
      </c>
      <c r="C8" s="6">
        <v>1</v>
      </c>
      <c r="D8" s="6">
        <v>1</v>
      </c>
      <c r="E8" s="7">
        <v>0</v>
      </c>
      <c r="F8">
        <v>6</v>
      </c>
      <c r="G8" t="str">
        <f t="shared" si="0"/>
        <v>0110</v>
      </c>
    </row>
    <row r="9" spans="2:12" x14ac:dyDescent="0.3">
      <c r="B9" s="5">
        <v>0</v>
      </c>
      <c r="C9" s="6">
        <v>1</v>
      </c>
      <c r="D9" s="6">
        <v>1</v>
      </c>
      <c r="E9" s="7">
        <v>1</v>
      </c>
      <c r="F9">
        <v>7</v>
      </c>
      <c r="G9" t="str">
        <f t="shared" si="0"/>
        <v>0111</v>
      </c>
    </row>
    <row r="10" spans="2:12" x14ac:dyDescent="0.3">
      <c r="B10" s="5">
        <v>1</v>
      </c>
      <c r="C10" s="6">
        <v>0</v>
      </c>
      <c r="D10" s="6">
        <v>0</v>
      </c>
      <c r="E10" s="7">
        <v>0</v>
      </c>
      <c r="F10">
        <v>8</v>
      </c>
      <c r="G10" t="str">
        <f t="shared" si="0"/>
        <v>1000</v>
      </c>
      <c r="J10" s="14" t="s">
        <v>5</v>
      </c>
      <c r="K10" s="14" t="s">
        <v>5</v>
      </c>
    </row>
    <row r="11" spans="2:12" x14ac:dyDescent="0.3">
      <c r="B11" s="5">
        <v>1</v>
      </c>
      <c r="C11" s="6">
        <v>0</v>
      </c>
      <c r="D11" s="6">
        <v>0</v>
      </c>
      <c r="E11" s="7">
        <v>1</v>
      </c>
      <c r="F11">
        <v>9</v>
      </c>
      <c r="G11" t="str">
        <f t="shared" si="0"/>
        <v>1001</v>
      </c>
      <c r="J11" t="str">
        <f t="shared" ref="J11" si="3">LOOKUP(J10,$F$2:$G$17)</f>
        <v>1111</v>
      </c>
      <c r="K11" t="str">
        <f t="shared" ref="K11" si="4">LOOKUP(K10,$F$2:$G$17)</f>
        <v>1111</v>
      </c>
      <c r="L11" s="1" t="str">
        <f>_xlfn.CONCAT(I11:K11)</f>
        <v>11111111</v>
      </c>
    </row>
    <row r="12" spans="2:12" x14ac:dyDescent="0.3">
      <c r="B12" s="5">
        <v>1</v>
      </c>
      <c r="C12" s="6">
        <v>0</v>
      </c>
      <c r="D12" s="6">
        <v>1</v>
      </c>
      <c r="E12" s="7">
        <v>0</v>
      </c>
      <c r="F12" s="11" t="s">
        <v>0</v>
      </c>
      <c r="G12" t="str">
        <f t="shared" si="0"/>
        <v>1010</v>
      </c>
    </row>
    <row r="13" spans="2:12" x14ac:dyDescent="0.3">
      <c r="B13" s="5">
        <v>1</v>
      </c>
      <c r="C13" s="6">
        <v>0</v>
      </c>
      <c r="D13" s="6">
        <v>1</v>
      </c>
      <c r="E13" s="7">
        <v>1</v>
      </c>
      <c r="F13" s="11" t="s">
        <v>1</v>
      </c>
      <c r="G13" t="str">
        <f t="shared" si="0"/>
        <v>1011</v>
      </c>
      <c r="J13">
        <v>1</v>
      </c>
      <c r="K13">
        <v>0</v>
      </c>
    </row>
    <row r="14" spans="2:12" x14ac:dyDescent="0.3">
      <c r="B14" s="5">
        <v>1</v>
      </c>
      <c r="C14" s="6">
        <v>1</v>
      </c>
      <c r="D14" s="6">
        <v>0</v>
      </c>
      <c r="E14" s="7">
        <v>0</v>
      </c>
      <c r="F14" s="11" t="s">
        <v>2</v>
      </c>
      <c r="G14" t="str">
        <f t="shared" si="0"/>
        <v>1100</v>
      </c>
      <c r="J14">
        <f>IF(J10="A",10,IF(J10="B",11,IF(J10="C",12,IF(J10="D",13,IF(J10="E",14,IF(J10="F",15,J10))))))</f>
        <v>15</v>
      </c>
      <c r="K14">
        <f>IF(K10="A",10,IF(K10="B",11,IF(K10="C",12,IF(K10="D",13,IF(K10="E",14,IF(K10="F",15,K10))))))</f>
        <v>15</v>
      </c>
    </row>
    <row r="15" spans="2:12" x14ac:dyDescent="0.3">
      <c r="B15" s="5">
        <v>1</v>
      </c>
      <c r="C15" s="6">
        <v>1</v>
      </c>
      <c r="D15" s="6">
        <v>0</v>
      </c>
      <c r="E15" s="7">
        <v>1</v>
      </c>
      <c r="F15" s="11" t="s">
        <v>3</v>
      </c>
      <c r="G15" t="str">
        <f t="shared" si="0"/>
        <v>1101</v>
      </c>
      <c r="J15">
        <f>J14*16^J13</f>
        <v>240</v>
      </c>
      <c r="K15">
        <f>K14*16^K13</f>
        <v>15</v>
      </c>
      <c r="L15" s="1">
        <f>SUM(I15:K15)</f>
        <v>255</v>
      </c>
    </row>
    <row r="16" spans="2:12" x14ac:dyDescent="0.3">
      <c r="B16" s="5">
        <v>1</v>
      </c>
      <c r="C16" s="6">
        <v>1</v>
      </c>
      <c r="D16" s="6">
        <v>1</v>
      </c>
      <c r="E16" s="7">
        <v>0</v>
      </c>
      <c r="F16" s="11" t="s">
        <v>4</v>
      </c>
      <c r="G16" t="str">
        <f t="shared" si="0"/>
        <v>1110</v>
      </c>
    </row>
    <row r="17" spans="2:12" x14ac:dyDescent="0.3">
      <c r="B17" s="8">
        <v>1</v>
      </c>
      <c r="C17" s="9">
        <v>1</v>
      </c>
      <c r="D17" s="9">
        <v>1</v>
      </c>
      <c r="E17" s="10">
        <v>1</v>
      </c>
      <c r="F17" s="11" t="s">
        <v>5</v>
      </c>
      <c r="G17" t="str">
        <f t="shared" si="0"/>
        <v>1111</v>
      </c>
    </row>
    <row r="18" spans="2:12" x14ac:dyDescent="0.3">
      <c r="I18" s="1">
        <v>3</v>
      </c>
      <c r="J18" s="14" t="s">
        <v>4</v>
      </c>
      <c r="K18" s="1">
        <v>8</v>
      </c>
    </row>
    <row r="19" spans="2:12" x14ac:dyDescent="0.3">
      <c r="I19" t="str">
        <f>LOOKUP(I18,$F$2:$G$17)</f>
        <v>0011</v>
      </c>
      <c r="J19" t="str">
        <f t="shared" ref="J19" si="5">LOOKUP(J18,$F$2:$G$17)</f>
        <v>1110</v>
      </c>
      <c r="K19" t="str">
        <f t="shared" ref="K19" si="6">LOOKUP(K18,$F$2:$G$17)</f>
        <v>1000</v>
      </c>
      <c r="L19" s="1" t="str">
        <f>_xlfn.CONCAT(I19:K19)</f>
        <v>001111101000</v>
      </c>
    </row>
    <row r="21" spans="2:12" x14ac:dyDescent="0.3">
      <c r="I21">
        <v>2</v>
      </c>
      <c r="J21">
        <v>1</v>
      </c>
      <c r="K21">
        <v>0</v>
      </c>
    </row>
    <row r="22" spans="2:12" x14ac:dyDescent="0.3">
      <c r="I22">
        <f>IF(I18="A",10,IF(I18="B",11,IF(I18="C",12,IF(I18="D",13,IF(I18="E",14,IF(I18="F",15,I18))))))</f>
        <v>3</v>
      </c>
      <c r="J22">
        <f>IF(J18="A",10,IF(J18="B",11,IF(J18="C",12,IF(J18="D",13,IF(J18="E",14,IF(J18="F",15,J18))))))</f>
        <v>14</v>
      </c>
      <c r="K22">
        <f>IF(K18="A",10,IF(K18="B",11,IF(K18="C",12,IF(K18="D",13,IF(K18="E",14,IF(K18="F",15,K18))))))</f>
        <v>8</v>
      </c>
    </row>
    <row r="23" spans="2:12" x14ac:dyDescent="0.3">
      <c r="I23">
        <f t="shared" ref="I23:J23" si="7">I22*16^I21</f>
        <v>768</v>
      </c>
      <c r="J23">
        <f t="shared" si="7"/>
        <v>224</v>
      </c>
      <c r="K23">
        <f>K22*16^K21</f>
        <v>8</v>
      </c>
      <c r="L23" s="1">
        <f>SUM(I23:K23)</f>
        <v>1000</v>
      </c>
    </row>
  </sheetData>
  <pageMargins left="0.7" right="0.7" top="0.75" bottom="0.75" header="0.3" footer="0.3"/>
  <ignoredErrors>
    <ignoredError sqref="G2:G1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3A837-7FE5-460D-96F6-5E36F801B80D}">
  <dimension ref="B2:L23"/>
  <sheetViews>
    <sheetView workbookViewId="0">
      <selection activeCell="L19" sqref="L19"/>
    </sheetView>
  </sheetViews>
  <sheetFormatPr defaultRowHeight="14.4" x14ac:dyDescent="0.3"/>
  <cols>
    <col min="12" max="12" width="14.6640625" customWidth="1"/>
  </cols>
  <sheetData>
    <row r="2" spans="2:12" x14ac:dyDescent="0.3">
      <c r="B2" s="7"/>
      <c r="C2" s="3">
        <v>0</v>
      </c>
      <c r="D2" s="3">
        <v>0</v>
      </c>
      <c r="E2" s="4">
        <v>0</v>
      </c>
      <c r="F2">
        <v>0</v>
      </c>
      <c r="G2" t="str">
        <f>_xlfn.CONCAT(C2:E2)</f>
        <v>000</v>
      </c>
      <c r="I2" s="1">
        <v>7</v>
      </c>
      <c r="J2" s="14">
        <v>3</v>
      </c>
      <c r="K2" s="1">
        <v>5</v>
      </c>
    </row>
    <row r="3" spans="2:12" x14ac:dyDescent="0.3">
      <c r="B3" s="7"/>
      <c r="C3" s="6">
        <v>0</v>
      </c>
      <c r="D3" s="6">
        <v>0</v>
      </c>
      <c r="E3" s="7">
        <v>1</v>
      </c>
      <c r="F3">
        <v>1</v>
      </c>
      <c r="G3" t="str">
        <f t="shared" ref="G3:G17" si="0">_xlfn.CONCAT(C3:E3)</f>
        <v>001</v>
      </c>
      <c r="I3" t="str">
        <f>LOOKUP(I2,$F$2:$G$17)</f>
        <v>111</v>
      </c>
      <c r="J3" t="str">
        <f t="shared" ref="J3:K3" si="1">LOOKUP(J2,$F$2:$G$17)</f>
        <v>011</v>
      </c>
      <c r="K3" t="str">
        <f t="shared" si="1"/>
        <v>101</v>
      </c>
      <c r="L3" s="1" t="str">
        <f>_xlfn.CONCAT(I3:K3)</f>
        <v>111011101</v>
      </c>
    </row>
    <row r="4" spans="2:12" x14ac:dyDescent="0.3">
      <c r="B4" s="7"/>
      <c r="C4" s="6">
        <v>0</v>
      </c>
      <c r="D4" s="6">
        <v>1</v>
      </c>
      <c r="E4" s="7">
        <v>0</v>
      </c>
      <c r="F4">
        <v>2</v>
      </c>
      <c r="G4" t="str">
        <f t="shared" si="0"/>
        <v>010</v>
      </c>
    </row>
    <row r="5" spans="2:12" x14ac:dyDescent="0.3">
      <c r="B5" s="7"/>
      <c r="C5" s="6">
        <v>0</v>
      </c>
      <c r="D5" s="6">
        <v>1</v>
      </c>
      <c r="E5" s="7">
        <v>1</v>
      </c>
      <c r="F5">
        <v>3</v>
      </c>
      <c r="G5" t="str">
        <f t="shared" si="0"/>
        <v>011</v>
      </c>
      <c r="I5">
        <v>2</v>
      </c>
      <c r="J5">
        <v>1</v>
      </c>
      <c r="K5">
        <v>0</v>
      </c>
    </row>
    <row r="6" spans="2:12" x14ac:dyDescent="0.3">
      <c r="B6" s="7"/>
      <c r="C6" s="6">
        <v>1</v>
      </c>
      <c r="D6" s="6">
        <v>0</v>
      </c>
      <c r="E6" s="7">
        <v>0</v>
      </c>
      <c r="F6">
        <v>4</v>
      </c>
      <c r="G6" t="str">
        <f t="shared" si="0"/>
        <v>100</v>
      </c>
      <c r="I6">
        <f t="shared" ref="I6:J6" si="2">I2</f>
        <v>7</v>
      </c>
      <c r="J6">
        <f t="shared" si="2"/>
        <v>3</v>
      </c>
      <c r="K6">
        <f>K2</f>
        <v>5</v>
      </c>
    </row>
    <row r="7" spans="2:12" x14ac:dyDescent="0.3">
      <c r="B7" s="7"/>
      <c r="C7" s="6">
        <v>1</v>
      </c>
      <c r="D7" s="6">
        <v>0</v>
      </c>
      <c r="E7" s="7">
        <v>1</v>
      </c>
      <c r="F7">
        <v>5</v>
      </c>
      <c r="G7" t="str">
        <f t="shared" si="0"/>
        <v>101</v>
      </c>
      <c r="I7">
        <f>I6*8^I5</f>
        <v>448</v>
      </c>
      <c r="J7">
        <f>J6*8^J5</f>
        <v>24</v>
      </c>
      <c r="K7">
        <f>K6*8^K5</f>
        <v>5</v>
      </c>
      <c r="L7" s="1">
        <f>SUM(I7:K7)</f>
        <v>477</v>
      </c>
    </row>
    <row r="8" spans="2:12" x14ac:dyDescent="0.3">
      <c r="B8" s="7"/>
      <c r="C8" s="6">
        <v>1</v>
      </c>
      <c r="D8" s="6">
        <v>1</v>
      </c>
      <c r="E8" s="7">
        <v>0</v>
      </c>
      <c r="F8">
        <v>6</v>
      </c>
      <c r="G8" t="str">
        <f t="shared" si="0"/>
        <v>110</v>
      </c>
    </row>
    <row r="9" spans="2:12" x14ac:dyDescent="0.3">
      <c r="B9" s="7"/>
      <c r="C9" s="6">
        <v>1</v>
      </c>
      <c r="D9" s="6">
        <v>1</v>
      </c>
      <c r="E9" s="7">
        <v>1</v>
      </c>
      <c r="F9">
        <v>7</v>
      </c>
      <c r="G9" t="str">
        <f t="shared" si="0"/>
        <v>111</v>
      </c>
    </row>
    <row r="10" spans="2:12" x14ac:dyDescent="0.3">
      <c r="B10" s="7"/>
      <c r="C10" s="6">
        <v>0</v>
      </c>
      <c r="D10" s="6">
        <v>0</v>
      </c>
      <c r="E10" s="7">
        <v>0</v>
      </c>
      <c r="F10">
        <v>8</v>
      </c>
      <c r="G10" t="str">
        <f t="shared" si="0"/>
        <v>000</v>
      </c>
      <c r="H10" s="1">
        <v>1</v>
      </c>
      <c r="I10" s="1">
        <v>2</v>
      </c>
      <c r="J10" s="14">
        <v>0</v>
      </c>
      <c r="K10" s="14">
        <v>7</v>
      </c>
    </row>
    <row r="11" spans="2:12" x14ac:dyDescent="0.3">
      <c r="B11" s="7"/>
      <c r="C11" s="6">
        <v>0</v>
      </c>
      <c r="D11" s="6">
        <v>0</v>
      </c>
      <c r="E11" s="7">
        <v>1</v>
      </c>
      <c r="F11">
        <v>9</v>
      </c>
      <c r="G11" t="str">
        <f t="shared" si="0"/>
        <v>001</v>
      </c>
      <c r="H11" t="str">
        <f t="shared" ref="H11" si="3">LOOKUP(H10,$F$2:$G$17)</f>
        <v>001</v>
      </c>
      <c r="I11" t="str">
        <f t="shared" ref="I11" si="4">LOOKUP(I10,$F$2:$G$17)</f>
        <v>010</v>
      </c>
      <c r="J11" t="str">
        <f t="shared" ref="J11" si="5">LOOKUP(J10,$F$2:$G$17)</f>
        <v>000</v>
      </c>
      <c r="K11" t="str">
        <f t="shared" ref="J11:K11" si="6">LOOKUP(K10,$F$2:$G$17)</f>
        <v>111</v>
      </c>
      <c r="L11" s="1" t="str">
        <f>_xlfn.CONCAT(H11:K11)</f>
        <v>001010000111</v>
      </c>
    </row>
    <row r="12" spans="2:12" x14ac:dyDescent="0.3">
      <c r="B12" s="7"/>
      <c r="C12" s="6">
        <v>0</v>
      </c>
      <c r="D12" s="6">
        <v>1</v>
      </c>
      <c r="E12" s="7">
        <v>0</v>
      </c>
      <c r="F12" s="11" t="s">
        <v>0</v>
      </c>
      <c r="G12" t="str">
        <f t="shared" si="0"/>
        <v>010</v>
      </c>
    </row>
    <row r="13" spans="2:12" x14ac:dyDescent="0.3">
      <c r="B13" s="7"/>
      <c r="C13" s="6">
        <v>0</v>
      </c>
      <c r="D13" s="6">
        <v>1</v>
      </c>
      <c r="E13" s="7">
        <v>1</v>
      </c>
      <c r="F13" s="11" t="s">
        <v>1</v>
      </c>
      <c r="G13" t="str">
        <f t="shared" si="0"/>
        <v>011</v>
      </c>
      <c r="H13">
        <v>3</v>
      </c>
      <c r="I13">
        <v>2</v>
      </c>
      <c r="J13">
        <v>1</v>
      </c>
      <c r="K13">
        <v>0</v>
      </c>
    </row>
    <row r="14" spans="2:12" x14ac:dyDescent="0.3">
      <c r="B14" s="7"/>
      <c r="C14" s="6">
        <v>1</v>
      </c>
      <c r="D14" s="6">
        <v>0</v>
      </c>
      <c r="E14" s="7">
        <v>0</v>
      </c>
      <c r="F14" s="11" t="s">
        <v>2</v>
      </c>
      <c r="G14" t="str">
        <f t="shared" si="0"/>
        <v>100</v>
      </c>
      <c r="H14">
        <f t="shared" ref="H14:J14" si="7">H10</f>
        <v>1</v>
      </c>
      <c r="I14">
        <f t="shared" si="7"/>
        <v>2</v>
      </c>
      <c r="J14">
        <f t="shared" si="7"/>
        <v>0</v>
      </c>
      <c r="K14">
        <f>K10</f>
        <v>7</v>
      </c>
    </row>
    <row r="15" spans="2:12" x14ac:dyDescent="0.3">
      <c r="B15" s="7"/>
      <c r="C15" s="6">
        <v>1</v>
      </c>
      <c r="D15" s="6">
        <v>0</v>
      </c>
      <c r="E15" s="7">
        <v>1</v>
      </c>
      <c r="F15" s="11" t="s">
        <v>3</v>
      </c>
      <c r="G15" t="str">
        <f t="shared" si="0"/>
        <v>101</v>
      </c>
      <c r="H15">
        <f t="shared" ref="H15:J15" si="8">H14*8^H13</f>
        <v>512</v>
      </c>
      <c r="I15">
        <f t="shared" si="8"/>
        <v>128</v>
      </c>
      <c r="J15">
        <f t="shared" si="8"/>
        <v>0</v>
      </c>
      <c r="K15">
        <f>K14*8^K13</f>
        <v>7</v>
      </c>
      <c r="L15" s="1">
        <f>SUM(H15:K15)</f>
        <v>647</v>
      </c>
    </row>
    <row r="16" spans="2:12" x14ac:dyDescent="0.3">
      <c r="B16" s="7"/>
      <c r="C16" s="6">
        <v>1</v>
      </c>
      <c r="D16" s="6">
        <v>1</v>
      </c>
      <c r="E16" s="7">
        <v>0</v>
      </c>
      <c r="F16" s="11" t="s">
        <v>4</v>
      </c>
      <c r="G16" t="str">
        <f t="shared" si="0"/>
        <v>110</v>
      </c>
    </row>
    <row r="17" spans="2:12" x14ac:dyDescent="0.3">
      <c r="B17" s="7"/>
      <c r="C17" s="9">
        <v>1</v>
      </c>
      <c r="D17" s="9">
        <v>1</v>
      </c>
      <c r="E17" s="10">
        <v>1</v>
      </c>
      <c r="F17" s="11" t="s">
        <v>5</v>
      </c>
      <c r="G17" t="str">
        <f t="shared" si="0"/>
        <v>111</v>
      </c>
    </row>
    <row r="18" spans="2:12" x14ac:dyDescent="0.3">
      <c r="I18" s="1">
        <v>7</v>
      </c>
      <c r="J18" s="14">
        <v>7</v>
      </c>
      <c r="K18" s="1">
        <v>7</v>
      </c>
    </row>
    <row r="19" spans="2:12" x14ac:dyDescent="0.3">
      <c r="I19" t="str">
        <f>LOOKUP(I18,$F$2:$G$17)</f>
        <v>111</v>
      </c>
      <c r="J19" t="str">
        <f t="shared" ref="J19" si="9">LOOKUP(J18,$F$2:$G$17)</f>
        <v>111</v>
      </c>
      <c r="K19" t="str">
        <f t="shared" ref="K19" si="10">LOOKUP(K18,$F$2:$G$17)</f>
        <v>111</v>
      </c>
      <c r="L19" s="1" t="str">
        <f>_xlfn.CONCAT(I19:K19)</f>
        <v>111111111</v>
      </c>
    </row>
    <row r="21" spans="2:12" x14ac:dyDescent="0.3">
      <c r="I21">
        <v>2</v>
      </c>
      <c r="J21">
        <v>1</v>
      </c>
      <c r="K21">
        <v>0</v>
      </c>
    </row>
    <row r="22" spans="2:12" x14ac:dyDescent="0.3">
      <c r="I22">
        <f t="shared" ref="I22:J22" si="11">I18</f>
        <v>7</v>
      </c>
      <c r="J22">
        <f t="shared" si="11"/>
        <v>7</v>
      </c>
      <c r="K22">
        <f>K18</f>
        <v>7</v>
      </c>
    </row>
    <row r="23" spans="2:12" x14ac:dyDescent="0.3">
      <c r="I23">
        <f>I22*8^I21</f>
        <v>448</v>
      </c>
      <c r="J23">
        <f>J22*8^J21</f>
        <v>56</v>
      </c>
      <c r="K23">
        <f>K22*8^K21</f>
        <v>7</v>
      </c>
      <c r="L23" s="1">
        <f>SUM(I23:K23)</f>
        <v>511</v>
      </c>
    </row>
  </sheetData>
  <pageMargins left="0.7" right="0.7" top="0.75" bottom="0.75" header="0.3" footer="0.3"/>
  <ignoredErrors>
    <ignoredError sqref="G2:G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EB12-CF97-4CD0-B1E4-3F6C7E32CDD8}">
  <dimension ref="A1:Q20"/>
  <sheetViews>
    <sheetView workbookViewId="0">
      <selection activeCell="C4" sqref="C4"/>
    </sheetView>
  </sheetViews>
  <sheetFormatPr defaultRowHeight="14.4" x14ac:dyDescent="0.3"/>
  <sheetData>
    <row r="1" spans="1:17" x14ac:dyDescent="0.3">
      <c r="B1">
        <v>6</v>
      </c>
      <c r="C1">
        <v>5</v>
      </c>
      <c r="D1">
        <v>4</v>
      </c>
      <c r="E1">
        <v>3</v>
      </c>
      <c r="F1">
        <v>2</v>
      </c>
      <c r="G1">
        <v>1</v>
      </c>
      <c r="H1">
        <v>0</v>
      </c>
    </row>
    <row r="3" spans="1:17" x14ac:dyDescent="0.3">
      <c r="B3">
        <f>IF(SUM(C3:C5)=3,1,IF(SUM(C3:C5)=2,1,0))</f>
        <v>1</v>
      </c>
      <c r="C3">
        <f>IF(SUM(D3:D5)=3,1,IF(SUM(D3:D5)=2,1,0))</f>
        <v>1</v>
      </c>
      <c r="D3">
        <f>IF(SUM(E3:E5)=3,1,IF(SUM(E3:E5)=2,1,0))</f>
        <v>1</v>
      </c>
      <c r="E3">
        <f>IF(SUM(F3:F5)=3,1,IF(SUM(F3:F5)=2,1,0))</f>
        <v>0</v>
      </c>
      <c r="F3">
        <f>IF(SUM(G3:G5)=3,1,IF(SUM(G3:G5)=2,1,0))</f>
        <v>0</v>
      </c>
      <c r="G3">
        <f>IF(SUM(H3:H5)=3,1,IF(SUM(H3:H5)=2,1,0))</f>
        <v>1</v>
      </c>
      <c r="Q3" s="1">
        <f>SUM(Q4:Q5)</f>
        <v>102</v>
      </c>
    </row>
    <row r="4" spans="1:17" x14ac:dyDescent="0.3">
      <c r="C4">
        <v>1</v>
      </c>
      <c r="D4">
        <v>0</v>
      </c>
      <c r="E4">
        <v>1</v>
      </c>
      <c r="F4">
        <v>1</v>
      </c>
      <c r="G4">
        <v>0</v>
      </c>
      <c r="H4">
        <v>1</v>
      </c>
      <c r="I4" t="s">
        <v>6</v>
      </c>
      <c r="J4">
        <f>H4*2^H1</f>
        <v>1</v>
      </c>
      <c r="K4">
        <f>G4*2^G1</f>
        <v>0</v>
      </c>
      <c r="L4">
        <f>F4*2^F1</f>
        <v>4</v>
      </c>
      <c r="M4">
        <f>E4*2^E1</f>
        <v>8</v>
      </c>
      <c r="N4">
        <f>D4*2^D1</f>
        <v>0</v>
      </c>
      <c r="O4">
        <f>C4*2^C1</f>
        <v>32</v>
      </c>
      <c r="Q4">
        <f>SUM(J4:P4)</f>
        <v>45</v>
      </c>
    </row>
    <row r="5" spans="1:17" x14ac:dyDescent="0.3">
      <c r="C5">
        <v>1</v>
      </c>
      <c r="D5">
        <v>1</v>
      </c>
      <c r="E5">
        <v>1</v>
      </c>
      <c r="F5">
        <v>0</v>
      </c>
      <c r="G5">
        <v>0</v>
      </c>
      <c r="H5">
        <v>1</v>
      </c>
      <c r="I5" s="12" t="s">
        <v>7</v>
      </c>
      <c r="J5">
        <f>H5*2^H1</f>
        <v>1</v>
      </c>
      <c r="K5">
        <f>G5*2^G1</f>
        <v>0</v>
      </c>
      <c r="L5">
        <f>F5*2^F1</f>
        <v>0</v>
      </c>
      <c r="M5">
        <f>E5*2^E1</f>
        <v>8</v>
      </c>
      <c r="N5">
        <f>D5*2^D1</f>
        <v>16</v>
      </c>
      <c r="O5">
        <f>C5*2^C1</f>
        <v>32</v>
      </c>
      <c r="Q5">
        <f>SUM(J5:P5)</f>
        <v>57</v>
      </c>
    </row>
    <row r="6" spans="1:17" x14ac:dyDescent="0.3">
      <c r="B6" s="3">
        <f>IF(SUM(B3:B5)=3,1,IF(SUM(B3:B5)=2,0,SUM(B3:B5)))</f>
        <v>1</v>
      </c>
      <c r="C6" s="3">
        <f>IF(SUM(C3:C5)=3,1,IF(SUM(C3:C5)=2,0,SUM(C3:C5)))</f>
        <v>1</v>
      </c>
      <c r="D6" s="3">
        <f>IF(SUM(D3:D5)=3,1,IF(SUM(D3:D5)=2,0,SUM(D3:D5)))</f>
        <v>0</v>
      </c>
      <c r="E6" s="3">
        <f>IF(SUM(E3:E5)=3,1,IF(SUM(E3:E5)=2,0,SUM(E3:E5)))</f>
        <v>0</v>
      </c>
      <c r="F6" s="3">
        <f>IF(SUM(F3:F5)=3,1,IF(SUM(F3:F5)=2,0,SUM(F3:F5)))</f>
        <v>1</v>
      </c>
      <c r="G6" s="3">
        <f>IF(SUM(G3:G5)=3,1,IF(SUM(G3:G5)=2,0,SUM(G3:G5)))</f>
        <v>1</v>
      </c>
      <c r="H6" s="3">
        <f>IF(SUM(H3:H5)=3,1,IF(SUM(H3:H5)=2,0,SUM(H3:H5)))</f>
        <v>0</v>
      </c>
      <c r="J6">
        <f>H6*2^H1</f>
        <v>0</v>
      </c>
      <c r="K6">
        <f>G6*2^G1</f>
        <v>2</v>
      </c>
      <c r="L6">
        <f>F6*2^F1</f>
        <v>4</v>
      </c>
      <c r="M6">
        <f>E6*2^E1</f>
        <v>0</v>
      </c>
      <c r="N6">
        <f>D6*2^D1</f>
        <v>0</v>
      </c>
      <c r="O6">
        <f>C6*2^C1</f>
        <v>32</v>
      </c>
      <c r="P6">
        <f>B6*2^B1</f>
        <v>64</v>
      </c>
      <c r="Q6" s="1">
        <f>SUM(J6:P6)</f>
        <v>102</v>
      </c>
    </row>
    <row r="10" spans="1:17" x14ac:dyDescent="0.3">
      <c r="A10">
        <f>IF(SUM(B10:B12)=3,1,IF(SUM(B10:B12)=2,1,0))</f>
        <v>1</v>
      </c>
      <c r="B10">
        <f>IF(SUM(C10:C12)=3,1,IF(SUM(C10:C12)=2,1,0))</f>
        <v>1</v>
      </c>
      <c r="C10">
        <f>IF(SUM(D10:D12)=3,1,IF(SUM(D10:D12)=2,1,0))</f>
        <v>1</v>
      </c>
      <c r="D10">
        <f>IF(SUM(E10:E12)=3,1,IF(SUM(E10:E12)=2,1,0))</f>
        <v>1</v>
      </c>
      <c r="E10">
        <f>IF(SUM(F10:F12)=3,1,IF(SUM(F10:F12)=2,1,0))</f>
        <v>1</v>
      </c>
      <c r="F10">
        <f>IF(SUM(G10:G12)=3,1,IF(SUM(G10:G12)=2,1,0))</f>
        <v>1</v>
      </c>
      <c r="G10">
        <f>IF(SUM(H10:H12)=3,1,IF(SUM(H10:H12)=2,1,0))</f>
        <v>0</v>
      </c>
    </row>
    <row r="11" spans="1:17" x14ac:dyDescent="0.3"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 t="s">
        <v>6</v>
      </c>
    </row>
    <row r="12" spans="1:17" x14ac:dyDescent="0.3">
      <c r="B12">
        <v>1</v>
      </c>
      <c r="C12">
        <v>1</v>
      </c>
      <c r="D12">
        <v>0</v>
      </c>
      <c r="E12">
        <v>1</v>
      </c>
      <c r="F12">
        <v>1</v>
      </c>
      <c r="G12">
        <v>1</v>
      </c>
      <c r="H12">
        <v>0</v>
      </c>
      <c r="I12" s="12" t="s">
        <v>7</v>
      </c>
    </row>
    <row r="13" spans="1:17" x14ac:dyDescent="0.3">
      <c r="B13" s="3">
        <f>IF(SUM(B10:B12)=3,1,IF(SUM(B10:B12)=2,0,SUM(B10:B12)))</f>
        <v>1</v>
      </c>
      <c r="C13" s="3">
        <f>IF(SUM(C10:C12)=3,1,IF(SUM(C10:C12)=2,0,SUM(C10:C12)))</f>
        <v>1</v>
      </c>
      <c r="D13" s="3">
        <f>IF(SUM(D10:D12)=3,1,IF(SUM(D10:D12)=2,0,SUM(D10:D12)))</f>
        <v>0</v>
      </c>
      <c r="E13" s="3">
        <f>IF(SUM(E10:E12)=3,1,IF(SUM(E10:E12)=2,0,SUM(E10:E12)))</f>
        <v>0</v>
      </c>
      <c r="F13" s="3">
        <f>IF(SUM(F10:F12)=3,1,IF(SUM(F10:F12)=2,0,SUM(F10:F12)))</f>
        <v>1</v>
      </c>
      <c r="G13" s="3">
        <f>IF(SUM(G10:G12)=3,1,IF(SUM(G10:G12)=2,0,SUM(G10:G12)))</f>
        <v>0</v>
      </c>
      <c r="H13" s="3">
        <f>IF(SUM(H10:H12)=3,1,IF(SUM(H10:H12)=2,0,SUM(H10:H12)))</f>
        <v>1</v>
      </c>
    </row>
    <row r="17" spans="1:10" x14ac:dyDescent="0.3">
      <c r="A17">
        <f>IF(SUM(B17:B19)=3,1,IF(SUM(B17:B19)=2,1,0))</f>
        <v>1</v>
      </c>
      <c r="B17">
        <f>IF(SUM(C17:C19)=3,1,IF(SUM(C17:C19)=2,1,0))</f>
        <v>0</v>
      </c>
      <c r="C17">
        <f>IF(SUM(D17:D19)=3,1,IF(SUM(D17:D19)=2,1,0))</f>
        <v>1</v>
      </c>
      <c r="D17">
        <f>IF(SUM(E17:E19)=3,1,IF(SUM(E17:E19)=2,1,0))</f>
        <v>1</v>
      </c>
      <c r="E17">
        <f>IF(SUM(F17:F19)=3,1,IF(SUM(F17:F19)=2,1,0))</f>
        <v>1</v>
      </c>
      <c r="F17">
        <f>IF(SUM(G17:G19)=3,1,IF(SUM(G17:G19)=2,1,0))</f>
        <v>1</v>
      </c>
      <c r="G17">
        <f>IF(SUM(H17:H19)=3,1,IF(SUM(H17:H19)=2,1,0))</f>
        <v>1</v>
      </c>
      <c r="H17">
        <f>IF(SUM(I17:I19)=3,1,IF(SUM(I17:I19)=2,1,0))</f>
        <v>1</v>
      </c>
    </row>
    <row r="18" spans="1:10" x14ac:dyDescent="0.3">
      <c r="B18">
        <v>1</v>
      </c>
      <c r="C18">
        <v>0</v>
      </c>
      <c r="D18">
        <v>0</v>
      </c>
      <c r="E18">
        <v>1</v>
      </c>
      <c r="F18">
        <v>1</v>
      </c>
      <c r="G18">
        <v>0</v>
      </c>
      <c r="H18">
        <v>1</v>
      </c>
      <c r="I18">
        <v>1</v>
      </c>
      <c r="J18" t="s">
        <v>6</v>
      </c>
    </row>
    <row r="19" spans="1:10" x14ac:dyDescent="0.3">
      <c r="B19">
        <v>1</v>
      </c>
      <c r="C19">
        <v>0</v>
      </c>
      <c r="D19">
        <v>1</v>
      </c>
      <c r="E19">
        <v>1</v>
      </c>
      <c r="F19">
        <v>0</v>
      </c>
      <c r="G19">
        <v>1</v>
      </c>
      <c r="H19">
        <v>0</v>
      </c>
      <c r="I19">
        <v>1</v>
      </c>
      <c r="J19" s="12" t="s">
        <v>7</v>
      </c>
    </row>
    <row r="20" spans="1:10" x14ac:dyDescent="0.3">
      <c r="A20" s="3">
        <f t="shared" ref="A20:B20" si="0">IF(SUM(A17:A19)=3,1,IF(SUM(A17:A19)=2,0,SUM(A17:A19)))</f>
        <v>1</v>
      </c>
      <c r="B20" s="3">
        <f t="shared" si="0"/>
        <v>0</v>
      </c>
      <c r="C20" s="3">
        <f>IF(SUM(C17:C19)=3,1,IF(SUM(C17:C19)=2,0,SUM(C17:C19)))</f>
        <v>1</v>
      </c>
      <c r="D20" s="3">
        <f>IF(SUM(D17:D19)=3,1,IF(SUM(D17:D19)=2,0,SUM(D17:D19)))</f>
        <v>0</v>
      </c>
      <c r="E20" s="3">
        <f>IF(SUM(E17:E19)=3,1,IF(SUM(E17:E19)=2,0,SUM(E17:E19)))</f>
        <v>1</v>
      </c>
      <c r="F20" s="3">
        <f>IF(SUM(F17:F19)=3,1,IF(SUM(F17:F19)=2,0,SUM(F17:F19)))</f>
        <v>0</v>
      </c>
      <c r="G20" s="3">
        <f>IF(SUM(G17:G19)=3,1,IF(SUM(G17:G19)=2,0,SUM(G17:G19)))</f>
        <v>0</v>
      </c>
      <c r="H20" s="3">
        <f>IF(SUM(H17:H19)=3,1,IF(SUM(H17:H19)=2,0,SUM(H17:H19)))</f>
        <v>0</v>
      </c>
      <c r="I20" s="3">
        <f>IF(SUM(I17:I19)=3,1,IF(SUM(I17:I19)=2,0,SUM(I17:I19)))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6D86-48C6-4F76-808A-5DCF2F0E473A}">
  <dimension ref="A1"/>
  <sheetViews>
    <sheetView workbookViewId="0">
      <selection activeCell="E13" sqref="E1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LabITIS</dc:creator>
  <cp:lastModifiedBy>LabITIS</cp:lastModifiedBy>
  <dcterms:created xsi:type="dcterms:W3CDTF">2025-11-05T09:05:50Z</dcterms:created>
  <dcterms:modified xsi:type="dcterms:W3CDTF">2025-11-05T09:55:25Z</dcterms:modified>
</cp:coreProperties>
</file>